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colma\Documents\.School\Term 6\Engineering Project 5\Week 8\Project 3\EngPrg3\Plans\"/>
    </mc:Choice>
  </mc:AlternateContent>
  <xr:revisionPtr revIDLastSave="0" documentId="13_ncr:1_{62319A2C-B080-42AD-B497-53EE6B80735F}" xr6:coauthVersionLast="47" xr6:coauthVersionMax="47" xr10:uidLastSave="{00000000-0000-0000-0000-000000000000}"/>
  <bookViews>
    <workbookView xWindow="-120" yWindow="-120" windowWidth="29040" windowHeight="15720" activeTab="2" xr2:uid="{4E248F06-6290-4F99-8284-0F58B4C0D068}"/>
  </bookViews>
  <sheets>
    <sheet name="BOM" sheetId="4" r:id="rId1"/>
    <sheet name="Power Budget" sheetId="1" r:id="rId2"/>
    <sheet name="Voltage and Current Limitations" sheetId="5" r:id="rId3"/>
    <sheet name="RPI Pinout" sheetId="3" r:id="rId4"/>
    <sheet name="STM Pinout" sheetId="2" r:id="rId5"/>
    <sheet name="L293D Pinout" sheetId="7" r:id="rId6"/>
    <sheet name="A4988 Pinout" sheetId="6" r:id="rId7"/>
    <sheet name="TL084 Pinout" sheetId="8" r:id="rId8"/>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 i="4" l="1"/>
  <c r="G11" i="4"/>
  <c r="G10" i="4"/>
  <c r="G9" i="4"/>
  <c r="G8" i="4"/>
  <c r="G7" i="4"/>
  <c r="G6" i="4"/>
  <c r="G4" i="4"/>
  <c r="G3" i="4"/>
  <c r="G2" i="4"/>
  <c r="G5" i="4"/>
  <c r="H5" i="4"/>
  <c r="H6" i="4"/>
  <c r="H11" i="4"/>
  <c r="H10" i="4"/>
  <c r="H9" i="4"/>
  <c r="H8" i="4"/>
  <c r="H7" i="4"/>
  <c r="H3" i="4"/>
  <c r="H2" i="4"/>
  <c r="B20" i="1"/>
  <c r="B21" i="1"/>
  <c r="F15" i="1"/>
  <c r="F17" i="1" s="1"/>
  <c r="G17" i="1"/>
  <c r="AB3" i="1"/>
  <c r="G5" i="1" s="1"/>
  <c r="Y11" i="1"/>
  <c r="V11" i="1"/>
  <c r="X11" i="1"/>
  <c r="W11" i="1"/>
  <c r="F13" i="1"/>
  <c r="F11" i="1"/>
  <c r="G9" i="1"/>
  <c r="F9" i="1"/>
  <c r="F3" i="1"/>
  <c r="AA3" i="1"/>
  <c r="G3" i="1"/>
  <c r="F5" i="1"/>
  <c r="F7" i="1" s="1"/>
  <c r="Y9" i="1"/>
  <c r="Y8" i="1"/>
  <c r="V8" i="1"/>
  <c r="V7" i="1"/>
  <c r="Y7" i="1" s="1"/>
  <c r="V6" i="1"/>
  <c r="Y5" i="1"/>
  <c r="Y4" i="1"/>
  <c r="Y3" i="1"/>
  <c r="V10" i="1"/>
  <c r="Y10" i="1" s="1"/>
  <c r="X10" i="1"/>
  <c r="W10" i="1"/>
  <c r="X9" i="1"/>
  <c r="W9" i="1"/>
  <c r="V9" i="1"/>
  <c r="X8" i="1"/>
  <c r="W8" i="1"/>
  <c r="R8" i="1"/>
  <c r="X7" i="1"/>
  <c r="W7" i="1"/>
  <c r="R7" i="1"/>
  <c r="B22" i="1"/>
  <c r="X6" i="1"/>
  <c r="W6" i="1"/>
  <c r="Y6" i="1" s="1"/>
  <c r="R5" i="1"/>
  <c r="R4" i="1"/>
  <c r="R3" i="1"/>
  <c r="X5" i="1"/>
  <c r="W5" i="1"/>
  <c r="V5" i="1"/>
  <c r="X4" i="1"/>
  <c r="W4" i="1"/>
  <c r="V4" i="1"/>
  <c r="X3" i="1"/>
  <c r="W3" i="1"/>
  <c r="V3" i="1"/>
  <c r="D8" i="1"/>
  <c r="D7" i="1"/>
  <c r="D6" i="1"/>
  <c r="C11" i="1"/>
  <c r="B11" i="1"/>
  <c r="D11" i="1" s="1"/>
  <c r="C10" i="1"/>
  <c r="B10" i="1"/>
  <c r="D10" i="1" s="1"/>
  <c r="C9" i="1"/>
  <c r="B9" i="1"/>
  <c r="D9" i="1" s="1"/>
  <c r="I2" i="4" l="1"/>
  <c r="J2" i="4" s="1" a="1"/>
  <c r="J2" i="4" s="1"/>
  <c r="G11" i="1"/>
  <c r="G13" i="1" s="1"/>
  <c r="G7" i="1"/>
  <c r="Z3" i="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<sst xmlns="http://schemas.openxmlformats.org/spreadsheetml/2006/main" count="356" uniqueCount="157">
  <si>
    <t>Device</t>
  </si>
  <si>
    <t>RPI 5</t>
  </si>
  <si>
    <t>TL084</t>
  </si>
  <si>
    <t>A4988</t>
  </si>
  <si>
    <t>L293D</t>
  </si>
  <si>
    <t>Supply</t>
  </si>
  <si>
    <t>Output A</t>
  </si>
  <si>
    <t>Output B</t>
  </si>
  <si>
    <t>Total</t>
  </si>
  <si>
    <t>Mean Well PD-65A</t>
  </si>
  <si>
    <t>Parameter</t>
  </si>
  <si>
    <t>Rated Voltage (V)</t>
  </si>
  <si>
    <t>Rated Current (A)</t>
  </si>
  <si>
    <t>Max Current (A)</t>
  </si>
  <si>
    <t>Min Current (A)</t>
  </si>
  <si>
    <t>Rated Power (W)</t>
  </si>
  <si>
    <t>Max Power (W)</t>
  </si>
  <si>
    <t>Min Power (W)</t>
  </si>
  <si>
    <t>Max Voltage (V)</t>
  </si>
  <si>
    <t>Min Voltage (V)</t>
  </si>
  <si>
    <t>Draw</t>
  </si>
  <si>
    <t>STM32 (E5V)</t>
  </si>
  <si>
    <t>17HS4401S</t>
  </si>
  <si>
    <t>Logic Voltage (V)</t>
  </si>
  <si>
    <t>Motor Supply Voltage (V)</t>
  </si>
  <si>
    <t>Chip Supply Voltage (V)</t>
  </si>
  <si>
    <t>Logic Current (A)</t>
  </si>
  <si>
    <t>Motor Current (A)</t>
  </si>
  <si>
    <t>Target Current (A)</t>
  </si>
  <si>
    <t>Extended Power Cost (W)</t>
  </si>
  <si>
    <t>FIT0185</t>
  </si>
  <si>
    <t>LM2941C</t>
  </si>
  <si>
    <t>LS00046</t>
  </si>
  <si>
    <t>Total Power (W)</t>
  </si>
  <si>
    <t>5V Power</t>
  </si>
  <si>
    <t>12V Power</t>
  </si>
  <si>
    <t>5V Power Balance</t>
  </si>
  <si>
    <t>12V Powet Balance</t>
  </si>
  <si>
    <t>Balance</t>
  </si>
  <si>
    <t>5V Power Draw</t>
  </si>
  <si>
    <t>12V Power Draw</t>
  </si>
  <si>
    <t>5V Power Available</t>
  </si>
  <si>
    <t>12V Powet Available</t>
  </si>
  <si>
    <t>5V Current Available</t>
  </si>
  <si>
    <t>12V Current Available</t>
  </si>
  <si>
    <t>5V Current Draw</t>
  </si>
  <si>
    <t>12V Current Draw</t>
  </si>
  <si>
    <t>5V Current Balance</t>
  </si>
  <si>
    <t>12V Current Balance</t>
  </si>
  <si>
    <t>12V Current Comp.</t>
  </si>
  <si>
    <t>5V Current Supp.</t>
  </si>
  <si>
    <t>5V Current Result</t>
  </si>
  <si>
    <t>12V Current Result</t>
  </si>
  <si>
    <t>Output</t>
  </si>
  <si>
    <t>PD-65A</t>
  </si>
  <si>
    <t>Description</t>
  </si>
  <si>
    <t>Model</t>
  </si>
  <si>
    <t>Manufacturer</t>
  </si>
  <si>
    <t>STM32F303RE</t>
  </si>
  <si>
    <t>Raspberry Pi</t>
  </si>
  <si>
    <t>ST Microelectronics</t>
  </si>
  <si>
    <t>Texas Instruments</t>
  </si>
  <si>
    <t>Handson Technology</t>
  </si>
  <si>
    <t>DF Robot</t>
  </si>
  <si>
    <t>OSEPP</t>
  </si>
  <si>
    <t>Mean Well</t>
  </si>
  <si>
    <t>ARM Microcontroller</t>
  </si>
  <si>
    <t>Quad Op Amp</t>
  </si>
  <si>
    <t>Stepper Motor Driver</t>
  </si>
  <si>
    <t>Stepper Motor</t>
  </si>
  <si>
    <t>DC Motor Driver</t>
  </si>
  <si>
    <t>DC Motor</t>
  </si>
  <si>
    <t>Vibrating Disc Motor</t>
  </si>
  <si>
    <t>LDO DC Regulator</t>
  </si>
  <si>
    <t>Total Price</t>
  </si>
  <si>
    <t>Project Quantity</t>
  </si>
  <si>
    <t>Purchase Quantity</t>
  </si>
  <si>
    <t>Purchase Price</t>
  </si>
  <si>
    <t>Project Price</t>
  </si>
  <si>
    <t>Price Each</t>
  </si>
  <si>
    <t>Total Price Minus Brains</t>
  </si>
  <si>
    <t>Linux SBC</t>
  </si>
  <si>
    <t>AC-DC Converter</t>
  </si>
  <si>
    <t>Note:</t>
  </si>
  <si>
    <t>The stepper motors and DC motor will never operate at the same time, so the Current allotted to one type of motor becomes available as headroom for the other kind, when inactive.</t>
  </si>
  <si>
    <t>Pin</t>
  </si>
  <si>
    <t>V-</t>
  </si>
  <si>
    <t>V+</t>
  </si>
  <si>
    <t>O1</t>
  </si>
  <si>
    <t>O2</t>
  </si>
  <si>
    <t>O3</t>
  </si>
  <si>
    <t>+2</t>
  </si>
  <si>
    <t>-2</t>
  </si>
  <si>
    <t>+1</t>
  </si>
  <si>
    <t>-1</t>
  </si>
  <si>
    <t>Function</t>
  </si>
  <si>
    <t>Assignment</t>
  </si>
  <si>
    <t>-3</t>
  </si>
  <si>
    <t>+3</t>
  </si>
  <si>
    <t>+4</t>
  </si>
  <si>
    <t>-4</t>
  </si>
  <si>
    <t>O4</t>
  </si>
  <si>
    <t>Use</t>
  </si>
  <si>
    <t>Supply +</t>
  </si>
  <si>
    <t>12V</t>
  </si>
  <si>
    <t>+12V</t>
  </si>
  <si>
    <t>Supply -</t>
  </si>
  <si>
    <t>0V</t>
  </si>
  <si>
    <t>1,2 EN</t>
  </si>
  <si>
    <t>3,4  EN</t>
  </si>
  <si>
    <t>1A</t>
  </si>
  <si>
    <t>1Y</t>
  </si>
  <si>
    <t>GND</t>
  </si>
  <si>
    <t>Y2</t>
  </si>
  <si>
    <t>A2</t>
  </si>
  <si>
    <t>5V</t>
  </si>
  <si>
    <t>Y3</t>
  </si>
  <si>
    <t>A3</t>
  </si>
  <si>
    <t>PWM</t>
  </si>
  <si>
    <t>DCM A</t>
  </si>
  <si>
    <t>DCM B</t>
  </si>
  <si>
    <t>Direction</t>
  </si>
  <si>
    <t>~Direction</t>
  </si>
  <si>
    <t>Mode 1</t>
  </si>
  <si>
    <t>Enable</t>
  </si>
  <si>
    <t>Mode 2</t>
  </si>
  <si>
    <t>Mode 3</t>
  </si>
  <si>
    <t>Reset</t>
  </si>
  <si>
    <t>Sleep</t>
  </si>
  <si>
    <t>Step</t>
  </si>
  <si>
    <t>V+ (Driver)</t>
  </si>
  <si>
    <t>V- (Driver)</t>
  </si>
  <si>
    <t>V+ (Logic)</t>
  </si>
  <si>
    <t>V- (Logic)</t>
  </si>
  <si>
    <t>-</t>
  </si>
  <si>
    <t>Pololu/Allegro</t>
  </si>
  <si>
    <t>Motor Supply +</t>
  </si>
  <si>
    <t>Logic Supply +</t>
  </si>
  <si>
    <t>Step Mode</t>
  </si>
  <si>
    <t>Standby</t>
  </si>
  <si>
    <t>Motor A</t>
  </si>
  <si>
    <t>Motor ~A</t>
  </si>
  <si>
    <t>Motor B</t>
  </si>
  <si>
    <t>Motor ~B</t>
  </si>
  <si>
    <t>Coil A</t>
  </si>
  <si>
    <t>Coil B</t>
  </si>
  <si>
    <t xml:space="preserve"> </t>
  </si>
  <si>
    <t>CN7</t>
  </si>
  <si>
    <t>CN10</t>
  </si>
  <si>
    <t>Part</t>
  </si>
  <si>
    <t>Supply Level (V)</t>
  </si>
  <si>
    <t>Logic Level (V)</t>
  </si>
  <si>
    <t>Input Tolerance (V)</t>
  </si>
  <si>
    <t>High Level (V)</t>
  </si>
  <si>
    <t>Low Level (V)</t>
  </si>
  <si>
    <t>3.3-5</t>
  </si>
  <si>
    <t>Encoder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</si>
</sst>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3" x14ac:knownFonts="1">
    <font>
      <sz val="11"/>
      <color theme="1"/>
      <name val="Aptos Narrow"/>
      <family val="2"/>
      <scheme val="minor"/>
    </font>
    <font>
      <b/>
      <sz val="11"/>
      <color theme="1"/>
      <name val="Aptos Narrow"/>
      <family val="2"/>
      <scheme val="minor"/>
    </font>
    <font>
      <b/>
      <sz val="14"/>
      <color theme="1"/>
      <name val="Aptos Narrow"/>
      <family val="2"/>
      <scheme val="minor"/>
    </font>
  </fonts>
  <fills count="10">
    <fill>
      <patternFill patternType="none"/>
    </fill>
    <fill>
      <patternFill patternType="gray125"/>
    </fill>
    <fill>
      <patternFill patternType="solid">
        <fgColor theme="0" tint="-0.14999847407452621"/>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3" tint="0.89999084444715716"/>
        <bgColor indexed="64"/>
      </patternFill>
    </fill>
    <fill>
      <patternFill patternType="solid">
        <fgColor theme="8" tint="0.79998168889431442"/>
        <bgColor indexed="64"/>
      </patternFill>
    </fill>
    <fill>
      <patternFill patternType="solid">
        <fgColor theme="9" tint="0.79998168889431442"/>
        <bgColor indexed="64"/>
      </patternFill>
    </fill>
  </fills>
  <borders count="1">
    <border>
      <left/>
      <right/>
      <top/>
      <bottom/>
      <diagonal/>
    </border>
  </borders>
  <cellStyleXfs count="1">
    <xf numFmtId="0" fontId="0" fillId="0" borderId="0"/>
  </cellStyleXfs>
  <cellXfs count="30">
    <xf numFmtId="0" fontId="0" fillId="0" borderId="0" xfId="0"/>
    <xf numFmtId="0" fontId="1" fillId="2" borderId="0" xfId="0" applyFont="1" applyFill="1"/>
    <xf numFmtId="0" fontId="0" fillId="2" borderId="0" xfId="0" applyFill="1"/>
    <xf numFmtId="0" fontId="2" fillId="0" borderId="0" xfId="0" applyFont="1"/>
    <xf numFmtId="0" fontId="1" fillId="0" borderId="0" xfId="0" applyFont="1"/>
    <xf numFmtId="0" fontId="0" fillId="0" borderId="0" xfId="0" applyAlignment="1">
      <alignment horizontal="center"/>
    </xf>
    <xf numFmtId="164" fontId="0" fillId="0" borderId="0" xfId="0" applyNumberFormat="1"/>
    <xf numFmtId="0" fontId="0" fillId="2" borderId="0" xfId="0" applyFill="1" applyAlignment="1">
      <alignment horizontal="center"/>
    </xf>
    <xf numFmtId="0" fontId="0" fillId="0" borderId="0" xfId="0" quotePrefix="1" applyAlignment="1">
      <alignment horizontal="center"/>
    </xf>
    <xf numFmtId="0" fontId="0" fillId="0" borderId="0" xfId="0" applyAlignment="1">
      <alignment horizontal="center" vertical="center"/>
    </xf>
    <xf numFmtId="0" fontId="0" fillId="2" borderId="0" xfId="0" applyFill="1" applyAlignment="1">
      <alignment vertical="center"/>
    </xf>
    <xf numFmtId="0" fontId="0" fillId="0" borderId="0" xfId="0" quotePrefix="1" applyAlignment="1">
      <alignment horizontal="center" vertical="center"/>
    </xf>
    <xf numFmtId="0" fontId="0" fillId="2" borderId="0" xfId="0" applyFill="1" applyAlignment="1">
      <alignment horizontal="center" vertical="center"/>
    </xf>
    <xf numFmtId="0" fontId="0" fillId="3" borderId="0" xfId="0" applyFill="1" applyAlignment="1">
      <alignment horizontal="center" vertical="center"/>
    </xf>
    <xf numFmtId="0" fontId="0" fillId="4" borderId="0" xfId="0" applyFill="1" applyAlignment="1">
      <alignment horizontal="center" vertical="center"/>
    </xf>
    <xf numFmtId="0" fontId="0" fillId="5" borderId="0" xfId="0" applyFill="1" applyAlignment="1">
      <alignment horizontal="center" vertical="center"/>
    </xf>
    <xf numFmtId="0" fontId="0" fillId="7" borderId="0" xfId="0" applyFill="1" applyAlignment="1">
      <alignment horizontal="center" vertical="center"/>
    </xf>
    <xf numFmtId="0" fontId="0" fillId="6" borderId="0" xfId="0" applyFill="1" applyAlignment="1">
      <alignment horizontal="center" vertical="center"/>
    </xf>
    <xf numFmtId="0" fontId="0" fillId="5" borderId="0" xfId="0" quotePrefix="1" applyFill="1" applyAlignment="1">
      <alignment horizontal="center" vertical="center"/>
    </xf>
    <xf numFmtId="0" fontId="0" fillId="8" borderId="0" xfId="0" applyFill="1" applyAlignment="1">
      <alignment horizontal="center"/>
    </xf>
    <xf numFmtId="0" fontId="0" fillId="8" borderId="0" xfId="0" quotePrefix="1" applyFill="1" applyAlignment="1">
      <alignment horizontal="center" vertical="center"/>
    </xf>
    <xf numFmtId="0" fontId="0" fillId="9" borderId="0" xfId="0" applyFill="1" applyAlignment="1">
      <alignment horizontal="center" vertical="center"/>
    </xf>
    <xf numFmtId="0" fontId="0" fillId="0" borderId="0" xfId="0" quotePrefix="1"/>
    <xf numFmtId="0" fontId="0" fillId="2" borderId="0" xfId="0" applyFill="1" applyAlignment="1">
      <alignment horizontal="center"/>
    </xf>
    <xf numFmtId="0" fontId="0" fillId="0" borderId="0" xfId="0" applyAlignment="1">
      <alignment horizontal="left" wrapText="1"/>
    </xf>
    <xf numFmtId="0" fontId="2" fillId="0" borderId="0" xfId="0" applyFont="1" applyAlignment="1">
      <alignment horizontal="center"/>
    </xf>
    <xf numFmtId="0" fontId="0" fillId="0" borderId="0" xfId="0" applyAlignment="1">
      <alignment horizontal="center"/>
    </xf>
    <xf numFmtId="0" fontId="1" fillId="2" borderId="0" xfId="0" applyFont="1" applyFill="1" applyAlignment="1">
      <alignment horizontal="center"/>
    </xf>
    <xf numFmtId="0" fontId="0" fillId="0" borderId="0" xfId="0" applyAlignment="1">
      <alignment horizontal="center" vertical="center"/>
    </xf>
    <xf numFmtId="0" fontId="0" fillId="0" borderId="0" xfId="0" quotePrefix="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B395D-6ABA-4638-8C6A-092975E4B5AC}">
  <dimension ref="A1:J11"/>
  <sheetViews>
    <sheetView workbookViewId="0">
      <selection activeCell="B2" sqref="B2:B9"/>
    </sheetView>
  </sheetViews>
  <sheetFormatPr defaultRowHeight="15" x14ac:dyDescent="0.25"/>
  <cols>
    <col min="1" max="1" width="17.42578125" bestFit="1" customWidth="1"/>
    <col min="2" max="2" width="12.28515625" bestFit="1" customWidth="1"/>
    <col min="3" max="3" width="26.42578125" bestFit="1" customWidth="1"/>
    <col min="4" max="4" width="16.140625" bestFit="1" customWidth="1"/>
    <col min="5" max="5" width="14.42578125" bestFit="1" customWidth="1"/>
    <col min="6" max="6" width="13.42578125" bestFit="1" customWidth="1"/>
    <col min="7" max="7" width="9.5703125" bestFit="1" customWidth="1"/>
    <col min="8" max="8" width="11.42578125" bestFit="1" customWidth="1"/>
    <col min="9" max="9" width="9.5703125" bestFit="1" customWidth="1"/>
    <col min="10" max="10" width="20.85546875" bestFit="1" customWidth="1"/>
  </cols>
  <sheetData>
    <row r="1" spans="1:10" x14ac:dyDescent="0.25">
      <c r="A1" s="1" t="s">
        <v>55</v>
      </c>
      <c r="B1" s="1" t="s">
        <v>56</v>
      </c>
      <c r="C1" s="1" t="s">
        <v>57</v>
      </c>
      <c r="D1" s="1" t="s">
        <v>76</v>
      </c>
      <c r="E1" s="1" t="s">
        <v>75</v>
      </c>
      <c r="F1" s="1" t="s">
        <v>77</v>
      </c>
      <c r="G1" s="1" t="s">
        <v>79</v>
      </c>
      <c r="H1" s="1" t="s">
        <v>78</v>
      </c>
      <c r="I1" s="1" t="s">
        <v>74</v>
      </c>
      <c r="J1" s="1" t="s">
        <v>80</v>
      </c>
    </row>
    <row r="2" spans="1:10" x14ac:dyDescent="0.25">
      <c r="A2" t="s">
        <v>81</v>
      </c>
      <c r="B2" t="s">
        <v>1</v>
      </c>
      <c r="C2" t="s">
        <v>59</v>
      </c>
      <c r="D2">
        <v>1</v>
      </c>
      <c r="E2">
        <v>1</v>
      </c>
      <c r="F2" s="6">
        <v>282.38</v>
      </c>
      <c r="G2" s="6">
        <f t="shared" ref="G2:G11" si="0">PRODUCT(F2, 1/D2)</f>
        <v>282.38</v>
      </c>
      <c r="H2" s="6">
        <f t="shared" ref="H2:H11" si="1">PRODUCT(F2, 1/PRODUCT(D2,1/E2))</f>
        <v>282.38</v>
      </c>
      <c r="I2" s="6">
        <f>SUM(H2:H11)</f>
        <v>402.85799999999995</v>
      </c>
      <c r="J2" s="6" cm="1">
        <f t="array" ref="J2">SUM(I2,-(G2:G3))</f>
        <v>103.02799999999995</v>
      </c>
    </row>
    <row r="3" spans="1:10" x14ac:dyDescent="0.25">
      <c r="A3" t="s">
        <v>66</v>
      </c>
      <c r="B3" t="s">
        <v>58</v>
      </c>
      <c r="C3" t="s">
        <v>60</v>
      </c>
      <c r="D3">
        <v>1</v>
      </c>
      <c r="E3">
        <v>1</v>
      </c>
      <c r="F3" s="6">
        <v>17.45</v>
      </c>
      <c r="G3" s="6">
        <f t="shared" si="0"/>
        <v>17.45</v>
      </c>
      <c r="H3" s="6">
        <f t="shared" si="1"/>
        <v>17.45</v>
      </c>
      <c r="I3" s="6"/>
    </row>
    <row r="4" spans="1:10" x14ac:dyDescent="0.25">
      <c r="A4" t="s">
        <v>67</v>
      </c>
      <c r="B4" t="s">
        <v>2</v>
      </c>
      <c r="C4" t="s">
        <v>61</v>
      </c>
      <c r="D4">
        <v>1</v>
      </c>
      <c r="E4">
        <v>1</v>
      </c>
      <c r="F4" s="6">
        <v>3.33</v>
      </c>
      <c r="G4" s="6">
        <f t="shared" si="0"/>
        <v>3.33</v>
      </c>
      <c r="H4" s="6">
        <f t="shared" si="1"/>
        <v>3.33</v>
      </c>
      <c r="I4" s="6"/>
    </row>
    <row r="5" spans="1:10" x14ac:dyDescent="0.25">
      <c r="A5" t="s">
        <v>68</v>
      </c>
      <c r="B5" t="s">
        <v>3</v>
      </c>
      <c r="C5" t="s">
        <v>135</v>
      </c>
      <c r="D5">
        <v>10</v>
      </c>
      <c r="E5">
        <v>2</v>
      </c>
      <c r="F5" s="6">
        <v>24.74</v>
      </c>
      <c r="G5" s="6">
        <f t="shared" si="0"/>
        <v>2.4740000000000002</v>
      </c>
      <c r="H5" s="6">
        <f t="shared" si="1"/>
        <v>4.9480000000000004</v>
      </c>
      <c r="I5" s="6"/>
    </row>
    <row r="6" spans="1:10" x14ac:dyDescent="0.25">
      <c r="A6" t="s">
        <v>69</v>
      </c>
      <c r="B6" t="s">
        <v>22</v>
      </c>
      <c r="C6" t="s">
        <v>62</v>
      </c>
      <c r="D6">
        <v>2</v>
      </c>
      <c r="E6">
        <v>2</v>
      </c>
      <c r="F6" s="6">
        <v>20.329999999999998</v>
      </c>
      <c r="G6" s="6">
        <f t="shared" si="0"/>
        <v>10.164999999999999</v>
      </c>
      <c r="H6" s="6">
        <f t="shared" si="1"/>
        <v>20.329999999999998</v>
      </c>
      <c r="I6" s="6"/>
    </row>
    <row r="7" spans="1:10" x14ac:dyDescent="0.25">
      <c r="A7" t="s">
        <v>70</v>
      </c>
      <c r="B7" t="s">
        <v>4</v>
      </c>
      <c r="C7" t="s">
        <v>61</v>
      </c>
      <c r="D7">
        <v>1</v>
      </c>
      <c r="E7">
        <v>1</v>
      </c>
      <c r="F7" s="6">
        <v>10.11</v>
      </c>
      <c r="G7" s="6">
        <f t="shared" si="0"/>
        <v>10.11</v>
      </c>
      <c r="H7" s="6">
        <f t="shared" si="1"/>
        <v>10.11</v>
      </c>
      <c r="I7" s="6"/>
    </row>
    <row r="8" spans="1:10" x14ac:dyDescent="0.25">
      <c r="A8" t="s">
        <v>71</v>
      </c>
      <c r="B8" t="s">
        <v>30</v>
      </c>
      <c r="C8" t="s">
        <v>63</v>
      </c>
      <c r="D8">
        <v>1</v>
      </c>
      <c r="E8">
        <v>1</v>
      </c>
      <c r="F8" s="6">
        <v>26.08</v>
      </c>
      <c r="G8" s="6">
        <f t="shared" si="0"/>
        <v>26.08</v>
      </c>
      <c r="H8" s="6">
        <f t="shared" si="1"/>
        <v>26.08</v>
      </c>
      <c r="I8" s="6"/>
    </row>
    <row r="9" spans="1:10" x14ac:dyDescent="0.25">
      <c r="A9" t="s">
        <v>72</v>
      </c>
      <c r="B9" t="s">
        <v>32</v>
      </c>
      <c r="C9" t="s">
        <v>64</v>
      </c>
      <c r="D9">
        <v>2</v>
      </c>
      <c r="E9">
        <v>1</v>
      </c>
      <c r="F9" s="6">
        <v>8.98</v>
      </c>
      <c r="G9" s="6">
        <f t="shared" si="0"/>
        <v>4.49</v>
      </c>
      <c r="H9" s="6">
        <f t="shared" si="1"/>
        <v>4.49</v>
      </c>
      <c r="I9" s="6"/>
    </row>
    <row r="10" spans="1:10" x14ac:dyDescent="0.25">
      <c r="A10" t="s">
        <v>73</v>
      </c>
      <c r="B10" t="s">
        <v>31</v>
      </c>
      <c r="C10" t="s">
        <v>61</v>
      </c>
      <c r="D10">
        <v>1</v>
      </c>
      <c r="E10">
        <v>1</v>
      </c>
      <c r="F10" s="6">
        <v>6.72</v>
      </c>
      <c r="G10" s="6">
        <f t="shared" si="0"/>
        <v>6.72</v>
      </c>
      <c r="H10" s="6">
        <f t="shared" si="1"/>
        <v>6.72</v>
      </c>
      <c r="I10" s="6"/>
    </row>
    <row r="11" spans="1:10" x14ac:dyDescent="0.25">
      <c r="A11" t="s">
        <v>82</v>
      </c>
      <c r="B11" t="s">
        <v>54</v>
      </c>
      <c r="C11" t="s">
        <v>65</v>
      </c>
      <c r="D11">
        <v>1</v>
      </c>
      <c r="E11">
        <v>1</v>
      </c>
      <c r="F11" s="6">
        <v>27.02</v>
      </c>
      <c r="G11" s="6">
        <f t="shared" si="0"/>
        <v>27.02</v>
      </c>
      <c r="H11" s="6">
        <f t="shared" si="1"/>
        <v>27.02</v>
      </c>
      <c r="I11" s="6"/>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01DC12-1E20-4EB1-95CA-36CE7ADD543C}">
  <dimension ref="A1:AB25"/>
  <sheetViews>
    <sheetView topLeftCell="E1" workbookViewId="0">
      <selection activeCell="A28" sqref="A28"/>
    </sheetView>
  </sheetViews>
  <sheetFormatPr defaultRowHeight="15" x14ac:dyDescent="0.25"/>
  <cols>
    <col min="1" max="1" width="14.85546875" bestFit="1" customWidth="1"/>
    <col min="2" max="3" width="8.140625" bestFit="1" customWidth="1"/>
    <col min="4" max="4" width="4.85546875" bestFit="1" customWidth="1"/>
    <col min="5" max="5" width="12.85546875" bestFit="1" customWidth="1"/>
    <col min="6" max="6" width="17.85546875" bestFit="1" customWidth="1"/>
    <col min="7" max="7" width="18.85546875" bestFit="1" customWidth="1"/>
    <col min="8" max="8" width="14.85546875" bestFit="1" customWidth="1"/>
    <col min="9" max="9" width="10.85546875" bestFit="1" customWidth="1"/>
    <col min="10" max="10" width="15.140625" bestFit="1" customWidth="1"/>
    <col min="11" max="11" width="13.5703125" bestFit="1" customWidth="1"/>
    <col min="12" max="12" width="13.28515625" bestFit="1" customWidth="1"/>
    <col min="13" max="13" width="14.5703125" bestFit="1" customWidth="1"/>
    <col min="14" max="14" width="21.28515625" bestFit="1" customWidth="1"/>
    <col min="15" max="15" width="20.42578125" bestFit="1" customWidth="1"/>
    <col min="16" max="16" width="14.7109375" bestFit="1" customWidth="1"/>
    <col min="17" max="17" width="15.140625" bestFit="1" customWidth="1"/>
    <col min="18" max="18" width="15.42578125" bestFit="1" customWidth="1"/>
    <col min="19" max="19" width="15.28515625" bestFit="1" customWidth="1"/>
    <col min="20" max="20" width="13.7109375" bestFit="1" customWidth="1"/>
    <col min="21" max="21" width="13.42578125" bestFit="1" customWidth="1"/>
    <col min="22" max="22" width="14.5703125" bestFit="1" customWidth="1"/>
    <col min="23" max="23" width="13" bestFit="1" customWidth="1"/>
    <col min="24" max="24" width="12.5703125" bestFit="1" customWidth="1"/>
    <col min="25" max="25" width="21.85546875" bestFit="1" customWidth="1"/>
    <col min="26" max="26" width="13.7109375" bestFit="1" customWidth="1"/>
    <col min="27" max="27" width="8.42578125" bestFit="1" customWidth="1"/>
    <col min="28" max="28" width="9.42578125" bestFit="1" customWidth="1"/>
  </cols>
  <sheetData>
    <row r="1" spans="1:28" ht="18.75" x14ac:dyDescent="0.3">
      <c r="A1" s="25" t="s">
        <v>5</v>
      </c>
      <c r="B1" s="25"/>
      <c r="C1" s="25"/>
      <c r="D1" s="25"/>
      <c r="F1" s="25" t="s">
        <v>38</v>
      </c>
      <c r="G1" s="25"/>
      <c r="H1" s="3"/>
      <c r="I1" s="25" t="s">
        <v>20</v>
      </c>
      <c r="J1" s="25"/>
      <c r="K1" s="25"/>
      <c r="L1" s="25"/>
      <c r="M1" s="25"/>
      <c r="N1" s="25"/>
      <c r="O1" s="25"/>
      <c r="P1" s="25"/>
      <c r="Q1" s="25"/>
      <c r="R1" s="25"/>
      <c r="S1" s="25"/>
      <c r="T1" s="25"/>
      <c r="U1" s="25"/>
      <c r="V1" s="25"/>
      <c r="W1" s="25"/>
      <c r="X1" s="25"/>
      <c r="Y1" s="25"/>
      <c r="Z1" s="25"/>
      <c r="AA1" s="25"/>
      <c r="AB1" s="25"/>
    </row>
    <row r="2" spans="1:28" x14ac:dyDescent="0.25">
      <c r="A2" s="27" t="s">
        <v>0</v>
      </c>
      <c r="B2" s="27"/>
      <c r="C2" s="27"/>
      <c r="D2" s="27"/>
      <c r="F2" s="1" t="s">
        <v>41</v>
      </c>
      <c r="G2" s="1" t="s">
        <v>42</v>
      </c>
      <c r="I2" s="1" t="s">
        <v>0</v>
      </c>
      <c r="J2" s="1" t="s">
        <v>11</v>
      </c>
      <c r="K2" s="1" t="s">
        <v>18</v>
      </c>
      <c r="L2" s="1" t="s">
        <v>19</v>
      </c>
      <c r="M2" s="1" t="s">
        <v>23</v>
      </c>
      <c r="N2" s="1" t="s">
        <v>24</v>
      </c>
      <c r="O2" s="1" t="s">
        <v>25</v>
      </c>
      <c r="P2" s="1" t="s">
        <v>26</v>
      </c>
      <c r="Q2" s="1" t="s">
        <v>27</v>
      </c>
      <c r="R2" s="1" t="s">
        <v>28</v>
      </c>
      <c r="S2" s="1" t="s">
        <v>12</v>
      </c>
      <c r="T2" s="1" t="s">
        <v>13</v>
      </c>
      <c r="U2" s="1" t="s">
        <v>14</v>
      </c>
      <c r="V2" s="1" t="s">
        <v>15</v>
      </c>
      <c r="W2" s="1" t="s">
        <v>16</v>
      </c>
      <c r="X2" s="1" t="s">
        <v>17</v>
      </c>
      <c r="Y2" s="1" t="s">
        <v>29</v>
      </c>
      <c r="Z2" s="1" t="s">
        <v>33</v>
      </c>
      <c r="AA2" s="1" t="s">
        <v>34</v>
      </c>
      <c r="AB2" s="1" t="s">
        <v>35</v>
      </c>
    </row>
    <row r="3" spans="1:28" x14ac:dyDescent="0.25">
      <c r="A3" s="26" t="s">
        <v>9</v>
      </c>
      <c r="B3" s="26"/>
      <c r="C3" s="26"/>
      <c r="D3" s="26"/>
      <c r="F3">
        <f>B9</f>
        <v>27.5</v>
      </c>
      <c r="G3">
        <f>C9</f>
        <v>33.599999999999994</v>
      </c>
      <c r="I3" t="s">
        <v>1</v>
      </c>
      <c r="J3">
        <v>5</v>
      </c>
      <c r="K3">
        <v>5</v>
      </c>
      <c r="L3">
        <v>5</v>
      </c>
      <c r="M3">
        <v>3.3</v>
      </c>
      <c r="N3">
        <v>0</v>
      </c>
      <c r="O3">
        <v>0</v>
      </c>
      <c r="Q3">
        <v>0</v>
      </c>
      <c r="R3">
        <f>SUM(P3:Q3)</f>
        <v>0</v>
      </c>
      <c r="S3">
        <v>5</v>
      </c>
      <c r="T3">
        <v>5</v>
      </c>
      <c r="U3">
        <v>5</v>
      </c>
      <c r="V3">
        <f t="shared" ref="V3:X5" si="0">PRODUCT(J3,S3)</f>
        <v>25</v>
      </c>
      <c r="W3">
        <f t="shared" si="0"/>
        <v>25</v>
      </c>
      <c r="X3">
        <f t="shared" si="0"/>
        <v>25</v>
      </c>
      <c r="Y3">
        <f>V3</f>
        <v>25</v>
      </c>
      <c r="Z3">
        <f>SUM(Y3:Y10)</f>
        <v>46.548500000000004</v>
      </c>
      <c r="AA3">
        <f>SUM(Y3:Y4,Y6,Y8)</f>
        <v>27.773</v>
      </c>
      <c r="AB3">
        <f>SUM(Y5,Y7,Y9,Y11)</f>
        <v>18.707999999999998</v>
      </c>
    </row>
    <row r="4" spans="1:28" x14ac:dyDescent="0.25">
      <c r="A4" s="1" t="s">
        <v>10</v>
      </c>
      <c r="B4" s="1" t="s">
        <v>6</v>
      </c>
      <c r="C4" s="1" t="s">
        <v>7</v>
      </c>
      <c r="D4" s="1" t="s">
        <v>8</v>
      </c>
      <c r="F4" s="1" t="s">
        <v>39</v>
      </c>
      <c r="G4" s="1" t="s">
        <v>40</v>
      </c>
      <c r="I4" t="s">
        <v>21</v>
      </c>
      <c r="J4">
        <v>5</v>
      </c>
      <c r="K4">
        <v>5.25</v>
      </c>
      <c r="L4">
        <v>4.75</v>
      </c>
      <c r="M4">
        <v>3.3</v>
      </c>
      <c r="N4">
        <v>0</v>
      </c>
      <c r="O4">
        <v>3.6</v>
      </c>
      <c r="Q4">
        <v>0</v>
      </c>
      <c r="R4">
        <f>SUM(P4:Q4)</f>
        <v>0</v>
      </c>
      <c r="S4">
        <v>0.5</v>
      </c>
      <c r="T4">
        <v>0.5</v>
      </c>
      <c r="U4">
        <v>0.1</v>
      </c>
      <c r="V4">
        <f t="shared" si="0"/>
        <v>2.5</v>
      </c>
      <c r="W4">
        <f t="shared" si="0"/>
        <v>2.625</v>
      </c>
      <c r="X4">
        <f t="shared" si="0"/>
        <v>0.47500000000000003</v>
      </c>
      <c r="Y4">
        <f>V4</f>
        <v>2.5</v>
      </c>
    </row>
    <row r="5" spans="1:28" x14ac:dyDescent="0.25">
      <c r="A5" t="s">
        <v>11</v>
      </c>
      <c r="B5">
        <v>5</v>
      </c>
      <c r="C5">
        <v>12</v>
      </c>
      <c r="D5" s="2"/>
      <c r="F5">
        <f>AA3</f>
        <v>27.773</v>
      </c>
      <c r="G5">
        <f>AB3</f>
        <v>18.707999999999998</v>
      </c>
      <c r="I5" t="s">
        <v>2</v>
      </c>
      <c r="J5">
        <v>12</v>
      </c>
      <c r="K5">
        <v>30</v>
      </c>
      <c r="L5">
        <v>10</v>
      </c>
      <c r="M5">
        <v>3.3</v>
      </c>
      <c r="N5">
        <v>0</v>
      </c>
      <c r="O5">
        <v>0</v>
      </c>
      <c r="P5">
        <v>4.0000000000000001E-3</v>
      </c>
      <c r="Q5">
        <v>0</v>
      </c>
      <c r="R5">
        <f>SUM(P5:Q5)</f>
        <v>4.0000000000000001E-3</v>
      </c>
      <c r="S5">
        <v>4.3999999999999997E-2</v>
      </c>
      <c r="T5">
        <v>4.3999999999999997E-2</v>
      </c>
      <c r="U5">
        <v>4.0000000000000001E-3</v>
      </c>
      <c r="V5">
        <f t="shared" si="0"/>
        <v>0.52800000000000002</v>
      </c>
      <c r="W5">
        <f t="shared" si="0"/>
        <v>1.3199999999999998</v>
      </c>
      <c r="X5">
        <f t="shared" si="0"/>
        <v>0.04</v>
      </c>
      <c r="Y5">
        <f>V5</f>
        <v>0.52800000000000002</v>
      </c>
    </row>
    <row r="6" spans="1:28" x14ac:dyDescent="0.25">
      <c r="A6" t="s">
        <v>12</v>
      </c>
      <c r="B6">
        <v>5.5</v>
      </c>
      <c r="C6">
        <v>2.8</v>
      </c>
      <c r="D6">
        <f t="shared" ref="D6:D11" si="1">SUM(B6:C6)</f>
        <v>8.3000000000000007</v>
      </c>
      <c r="F6" s="1" t="s">
        <v>36</v>
      </c>
      <c r="G6" s="1" t="s">
        <v>37</v>
      </c>
      <c r="I6" t="s">
        <v>3</v>
      </c>
      <c r="J6">
        <v>5</v>
      </c>
      <c r="K6">
        <v>5.5</v>
      </c>
      <c r="L6">
        <v>0.3</v>
      </c>
      <c r="M6">
        <v>5</v>
      </c>
      <c r="N6">
        <v>12</v>
      </c>
      <c r="O6">
        <v>5</v>
      </c>
      <c r="P6">
        <v>8.0000000000000002E-3</v>
      </c>
      <c r="Q6">
        <v>0</v>
      </c>
      <c r="R6">
        <v>6.0000000000000001E-3</v>
      </c>
      <c r="S6">
        <v>8.0000000000000002E-3</v>
      </c>
      <c r="T6">
        <v>8.0000000000000002E-3</v>
      </c>
      <c r="U6">
        <v>4.0000000000000001E-3</v>
      </c>
      <c r="V6">
        <f>PRODUCT(N6,R6)</f>
        <v>7.2000000000000008E-2</v>
      </c>
      <c r="W6">
        <f t="shared" ref="W6:X11" si="2">PRODUCT(K6,T6)</f>
        <v>4.3999999999999997E-2</v>
      </c>
      <c r="X6">
        <f t="shared" si="2"/>
        <v>1.1999999999999999E-3</v>
      </c>
      <c r="Y6">
        <f>PRODUCT(2,W6)</f>
        <v>8.7999999999999995E-2</v>
      </c>
    </row>
    <row r="7" spans="1:28" x14ac:dyDescent="0.25">
      <c r="A7" t="s">
        <v>13</v>
      </c>
      <c r="B7">
        <v>7</v>
      </c>
      <c r="C7">
        <v>3.2</v>
      </c>
      <c r="D7">
        <f t="shared" si="1"/>
        <v>10.199999999999999</v>
      </c>
      <c r="F7">
        <f>SUM(F3,-F5)</f>
        <v>-0.27299999999999969</v>
      </c>
      <c r="G7">
        <f>SUM(G3,-G5)</f>
        <v>14.891999999999996</v>
      </c>
      <c r="I7" t="s">
        <v>22</v>
      </c>
      <c r="J7">
        <v>12</v>
      </c>
      <c r="K7">
        <v>12</v>
      </c>
      <c r="L7">
        <v>0</v>
      </c>
      <c r="M7">
        <v>0</v>
      </c>
      <c r="N7">
        <v>12</v>
      </c>
      <c r="O7">
        <v>0</v>
      </c>
      <c r="P7">
        <v>0</v>
      </c>
      <c r="Q7">
        <v>0.5</v>
      </c>
      <c r="R7">
        <f>SUM(P7:Q7)</f>
        <v>0.5</v>
      </c>
      <c r="S7">
        <v>1.5</v>
      </c>
      <c r="T7">
        <v>1.7</v>
      </c>
      <c r="U7">
        <v>2E-3</v>
      </c>
      <c r="V7">
        <f>PRODUCT(J7,R7)</f>
        <v>6</v>
      </c>
      <c r="W7">
        <f t="shared" si="2"/>
        <v>20.399999999999999</v>
      </c>
      <c r="X7">
        <f t="shared" si="2"/>
        <v>0</v>
      </c>
      <c r="Y7">
        <f>PRODUCT(2,V7)</f>
        <v>12</v>
      </c>
    </row>
    <row r="8" spans="1:28" x14ac:dyDescent="0.25">
      <c r="A8" t="s">
        <v>14</v>
      </c>
      <c r="B8">
        <v>0.4</v>
      </c>
      <c r="C8">
        <v>0.2</v>
      </c>
      <c r="D8">
        <f t="shared" si="1"/>
        <v>0.60000000000000009</v>
      </c>
      <c r="F8" s="1" t="s">
        <v>43</v>
      </c>
      <c r="G8" s="1" t="s">
        <v>44</v>
      </c>
      <c r="I8" t="s">
        <v>4</v>
      </c>
      <c r="J8">
        <v>7</v>
      </c>
      <c r="K8">
        <v>7</v>
      </c>
      <c r="L8">
        <v>4.5</v>
      </c>
      <c r="M8">
        <v>5</v>
      </c>
      <c r="N8">
        <v>0</v>
      </c>
      <c r="O8">
        <v>5</v>
      </c>
      <c r="P8">
        <v>4.1000000000000002E-2</v>
      </c>
      <c r="Q8">
        <v>0</v>
      </c>
      <c r="R8">
        <f>SUM(P8:Q8)</f>
        <v>4.1000000000000002E-2</v>
      </c>
      <c r="S8">
        <v>3.6999999999999998E-2</v>
      </c>
      <c r="T8">
        <v>6.6000000000000003E-2</v>
      </c>
      <c r="U8">
        <v>2.1000000000000001E-2</v>
      </c>
      <c r="V8">
        <f>PRODUCT(O8,S8)</f>
        <v>0.185</v>
      </c>
      <c r="W8">
        <f t="shared" si="2"/>
        <v>0.46200000000000002</v>
      </c>
      <c r="X8">
        <f t="shared" si="2"/>
        <v>9.4500000000000001E-2</v>
      </c>
      <c r="Y8">
        <f>V8</f>
        <v>0.185</v>
      </c>
    </row>
    <row r="9" spans="1:28" x14ac:dyDescent="0.25">
      <c r="A9" t="s">
        <v>15</v>
      </c>
      <c r="B9">
        <f>PRODUCT(B5:B6)</f>
        <v>27.5</v>
      </c>
      <c r="C9">
        <f>PRODUCT(C5:C6)</f>
        <v>33.599999999999994</v>
      </c>
      <c r="D9">
        <f t="shared" si="1"/>
        <v>61.099999999999994</v>
      </c>
      <c r="F9">
        <f>B6</f>
        <v>5.5</v>
      </c>
      <c r="G9">
        <f>C6</f>
        <v>2.8</v>
      </c>
      <c r="I9" t="s">
        <v>30</v>
      </c>
      <c r="J9">
        <v>12</v>
      </c>
      <c r="K9">
        <v>12</v>
      </c>
      <c r="L9">
        <v>0</v>
      </c>
      <c r="M9">
        <v>0</v>
      </c>
      <c r="N9">
        <v>12</v>
      </c>
      <c r="O9">
        <v>0</v>
      </c>
      <c r="P9">
        <v>0</v>
      </c>
      <c r="Q9">
        <v>0.5</v>
      </c>
      <c r="R9">
        <v>0.5</v>
      </c>
      <c r="S9">
        <v>0.5</v>
      </c>
      <c r="T9">
        <v>7</v>
      </c>
      <c r="U9">
        <v>0</v>
      </c>
      <c r="V9">
        <f>PRODUCT(J9,S9)</f>
        <v>6</v>
      </c>
      <c r="W9">
        <f t="shared" si="2"/>
        <v>84</v>
      </c>
      <c r="X9">
        <f t="shared" si="2"/>
        <v>0</v>
      </c>
      <c r="Y9">
        <f>V9</f>
        <v>6</v>
      </c>
    </row>
    <row r="10" spans="1:28" x14ac:dyDescent="0.25">
      <c r="A10" t="s">
        <v>16</v>
      </c>
      <c r="B10">
        <f>PRODUCT(B5,B7)</f>
        <v>35</v>
      </c>
      <c r="C10">
        <f>PRODUCT(C5,C7)</f>
        <v>38.400000000000006</v>
      </c>
      <c r="D10">
        <f t="shared" si="1"/>
        <v>73.400000000000006</v>
      </c>
      <c r="F10" s="1" t="s">
        <v>45</v>
      </c>
      <c r="G10" s="1" t="s">
        <v>46</v>
      </c>
      <c r="I10" t="s">
        <v>32</v>
      </c>
      <c r="J10">
        <v>3.3</v>
      </c>
      <c r="K10">
        <v>4.2</v>
      </c>
      <c r="L10">
        <v>2.2999999999999998</v>
      </c>
      <c r="M10">
        <v>3.3</v>
      </c>
      <c r="N10">
        <v>0</v>
      </c>
      <c r="O10">
        <v>0</v>
      </c>
      <c r="P10">
        <v>0</v>
      </c>
      <c r="Q10">
        <v>0</v>
      </c>
      <c r="R10">
        <v>7.4999999999999997E-2</v>
      </c>
      <c r="S10">
        <v>7.4999999999999997E-2</v>
      </c>
      <c r="T10">
        <v>9.5000000000000001E-2</v>
      </c>
      <c r="U10">
        <v>0</v>
      </c>
      <c r="V10">
        <f>PRODUCT(J10,S10)</f>
        <v>0.24749999999999997</v>
      </c>
      <c r="W10">
        <f t="shared" si="2"/>
        <v>0.39900000000000002</v>
      </c>
      <c r="X10">
        <f t="shared" si="2"/>
        <v>0</v>
      </c>
      <c r="Y10">
        <f>V10</f>
        <v>0.24749999999999997</v>
      </c>
    </row>
    <row r="11" spans="1:28" x14ac:dyDescent="0.25">
      <c r="A11" t="s">
        <v>17</v>
      </c>
      <c r="B11">
        <f>PRODUCT(B5,B8)</f>
        <v>2</v>
      </c>
      <c r="C11">
        <f>PRODUCT(C5,C8)</f>
        <v>2.4000000000000004</v>
      </c>
      <c r="D11">
        <f t="shared" si="1"/>
        <v>4.4000000000000004</v>
      </c>
      <c r="F11">
        <f>PRODUCT(F5,1/B5)</f>
        <v>5.5546000000000006</v>
      </c>
      <c r="G11">
        <f>PRODUCT(G5,1/C5)</f>
        <v>1.5589999999999997</v>
      </c>
      <c r="I11" t="s">
        <v>31</v>
      </c>
      <c r="J11">
        <v>12</v>
      </c>
      <c r="K11">
        <v>45</v>
      </c>
      <c r="L11">
        <v>5.5</v>
      </c>
      <c r="M11">
        <v>0</v>
      </c>
      <c r="N11">
        <v>0</v>
      </c>
      <c r="O11">
        <v>12</v>
      </c>
      <c r="P11">
        <v>0</v>
      </c>
      <c r="Q11">
        <v>0</v>
      </c>
      <c r="R11">
        <v>1.4999999999999999E-2</v>
      </c>
      <c r="S11">
        <v>1.4999999999999999E-2</v>
      </c>
      <c r="T11">
        <v>1.4999999999999999E-2</v>
      </c>
      <c r="U11">
        <v>0.01</v>
      </c>
      <c r="V11">
        <f>PRODUCT(S11,J11)</f>
        <v>0.18</v>
      </c>
      <c r="W11">
        <f t="shared" si="2"/>
        <v>0.67499999999999993</v>
      </c>
      <c r="X11">
        <f t="shared" si="2"/>
        <v>5.5E-2</v>
      </c>
      <c r="Y11">
        <f>V11</f>
        <v>0.18</v>
      </c>
    </row>
    <row r="12" spans="1:28" x14ac:dyDescent="0.25">
      <c r="F12" s="1" t="s">
        <v>47</v>
      </c>
      <c r="G12" s="1" t="s">
        <v>48</v>
      </c>
    </row>
    <row r="13" spans="1:28" x14ac:dyDescent="0.25">
      <c r="A13" s="27" t="s">
        <v>0</v>
      </c>
      <c r="B13" s="27"/>
      <c r="C13" s="4"/>
      <c r="D13" s="4"/>
      <c r="F13">
        <f>SUM(F9,-F11)</f>
        <v>-5.4600000000000648E-2</v>
      </c>
      <c r="G13">
        <f>SUM(G9,-G11)</f>
        <v>1.2410000000000001</v>
      </c>
    </row>
    <row r="14" spans="1:28" x14ac:dyDescent="0.25">
      <c r="A14" s="26" t="s">
        <v>31</v>
      </c>
      <c r="B14" s="26"/>
      <c r="F14" s="1" t="s">
        <v>50</v>
      </c>
      <c r="G14" s="1" t="s">
        <v>49</v>
      </c>
    </row>
    <row r="15" spans="1:28" x14ac:dyDescent="0.25">
      <c r="A15" s="1" t="s">
        <v>10</v>
      </c>
      <c r="B15" s="1" t="s">
        <v>53</v>
      </c>
      <c r="C15" s="4"/>
      <c r="D15" s="4"/>
      <c r="F15">
        <f>SUM(PRODUCT(-1,G15),-S11)</f>
        <v>0.10100000000000001</v>
      </c>
      <c r="G15">
        <v>-0.11600000000000001</v>
      </c>
    </row>
    <row r="16" spans="1:28" x14ac:dyDescent="0.25">
      <c r="A16" t="s">
        <v>11</v>
      </c>
      <c r="B16">
        <v>45</v>
      </c>
      <c r="F16" s="1" t="s">
        <v>51</v>
      </c>
      <c r="G16" s="1" t="s">
        <v>52</v>
      </c>
    </row>
    <row r="17" spans="1:7" x14ac:dyDescent="0.25">
      <c r="A17" t="s">
        <v>12</v>
      </c>
      <c r="B17">
        <v>1</v>
      </c>
      <c r="F17">
        <f>SUM(F13,F15)</f>
        <v>4.6399999999999358E-2</v>
      </c>
      <c r="G17">
        <f>SUM(G13,G15)</f>
        <v>1.125</v>
      </c>
    </row>
    <row r="18" spans="1:7" x14ac:dyDescent="0.25">
      <c r="A18" t="s">
        <v>13</v>
      </c>
      <c r="B18">
        <v>1.6</v>
      </c>
    </row>
    <row r="19" spans="1:7" x14ac:dyDescent="0.25">
      <c r="A19" t="s">
        <v>14</v>
      </c>
      <c r="B19">
        <v>0</v>
      </c>
    </row>
    <row r="20" spans="1:7" x14ac:dyDescent="0.25">
      <c r="A20" t="s">
        <v>15</v>
      </c>
      <c r="B20">
        <f>PRODUCT(B16:B17)</f>
        <v>45</v>
      </c>
    </row>
    <row r="21" spans="1:7" x14ac:dyDescent="0.25">
      <c r="A21" t="s">
        <v>16</v>
      </c>
      <c r="B21">
        <f>PRODUCT(B16,B18)</f>
        <v>72</v>
      </c>
    </row>
    <row r="22" spans="1:7" x14ac:dyDescent="0.25">
      <c r="A22" t="s">
        <v>17</v>
      </c>
      <c r="B22">
        <f>PRODUCT(B16,B19)</f>
        <v>0</v>
      </c>
    </row>
    <row r="24" spans="1:7" x14ac:dyDescent="0.25">
      <c r="A24" s="23" t="s">
        <v>83</v>
      </c>
      <c r="B24" s="23"/>
      <c r="C24" s="23"/>
      <c r="D24" s="23"/>
    </row>
    <row r="25" spans="1:7" ht="72.599999999999994" customHeight="1" x14ac:dyDescent="0.25">
      <c r="A25" s="24" t="s">
        <v>84</v>
      </c>
      <c r="B25" s="24"/>
      <c r="C25" s="24"/>
      <c r="D25" s="24"/>
    </row>
  </sheetData>
  <mergeCells count="9">
    <mergeCell ref="A24:D24"/>
    <mergeCell ref="A25:D25"/>
    <mergeCell ref="I1:AB1"/>
    <mergeCell ref="F1:G1"/>
    <mergeCell ref="A14:B14"/>
    <mergeCell ref="A13:B13"/>
    <mergeCell ref="A3:D3"/>
    <mergeCell ref="A2:D2"/>
    <mergeCell ref="A1:D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58BB8-CB08-42DC-96D6-45D81DA36A28}">
  <dimension ref="A1:F10"/>
  <sheetViews>
    <sheetView tabSelected="1" workbookViewId="0">
      <selection activeCell="C3" sqref="C3"/>
    </sheetView>
  </sheetViews>
  <sheetFormatPr defaultRowHeight="15" x14ac:dyDescent="0.25"/>
  <cols>
    <col min="1" max="1" width="17.5703125" bestFit="1" customWidth="1"/>
    <col min="2" max="2" width="14.140625" bestFit="1" customWidth="1"/>
    <col min="3" max="3" width="12.5703125" bestFit="1" customWidth="1"/>
    <col min="4" max="4" width="16.5703125" bestFit="1" customWidth="1"/>
    <col min="5" max="5" width="12.140625" bestFit="1" customWidth="1"/>
    <col min="6" max="6" width="12.28515625" bestFit="1" customWidth="1"/>
  </cols>
  <sheetData>
    <row r="1" spans="1:6" x14ac:dyDescent="0.25">
      <c r="A1" s="1" t="s">
        <v>149</v>
      </c>
      <c r="B1" s="1" t="s">
        <v>150</v>
      </c>
      <c r="C1" s="1" t="s">
        <v>151</v>
      </c>
      <c r="D1" s="1" t="s">
        <v>152</v>
      </c>
      <c r="E1" s="1" t="s">
        <v>153</v>
      </c>
      <c r="F1" s="1" t="s">
        <v>154</v>
      </c>
    </row>
    <row r="2" spans="1:6" x14ac:dyDescent="0.25">
      <c r="A2" t="s">
        <v>1</v>
      </c>
      <c r="B2">
        <v>5</v>
      </c>
      <c r="C2">
        <v>3.3</v>
      </c>
      <c r="D2">
        <v>3.3</v>
      </c>
      <c r="E2">
        <v>3.3</v>
      </c>
      <c r="F2">
        <v>0</v>
      </c>
    </row>
    <row r="3" spans="1:6" x14ac:dyDescent="0.25">
      <c r="A3" t="s">
        <v>58</v>
      </c>
      <c r="B3">
        <v>5</v>
      </c>
      <c r="C3">
        <v>3.3</v>
      </c>
      <c r="D3">
        <v>3.3</v>
      </c>
      <c r="E3">
        <v>3.3</v>
      </c>
      <c r="F3">
        <v>0</v>
      </c>
    </row>
    <row r="4" spans="1:6" x14ac:dyDescent="0.25">
      <c r="A4" t="s">
        <v>2</v>
      </c>
      <c r="B4">
        <v>12</v>
      </c>
      <c r="C4" s="22" t="s">
        <v>134</v>
      </c>
      <c r="D4" s="22" t="s">
        <v>134</v>
      </c>
      <c r="E4" s="22">
        <v>12</v>
      </c>
      <c r="F4" s="22" t="s">
        <v>134</v>
      </c>
    </row>
    <row r="5" spans="1:6" x14ac:dyDescent="0.25">
      <c r="A5" t="s">
        <v>3</v>
      </c>
      <c r="B5">
        <v>12</v>
      </c>
      <c r="C5" t="s">
        <v>155</v>
      </c>
      <c r="D5">
        <v>5.5</v>
      </c>
      <c r="E5" t="s">
        <v>155</v>
      </c>
      <c r="F5">
        <v>0</v>
      </c>
    </row>
    <row r="6" spans="1:6" x14ac:dyDescent="0.25">
      <c r="A6" t="s">
        <v>22</v>
      </c>
      <c r="B6">
        <v>12</v>
      </c>
      <c r="C6" s="22" t="s">
        <v>134</v>
      </c>
      <c r="D6">
        <v>12</v>
      </c>
      <c r="E6">
        <v>12</v>
      </c>
      <c r="F6">
        <v>0</v>
      </c>
    </row>
    <row r="7" spans="1:6" x14ac:dyDescent="0.25">
      <c r="A7" t="s">
        <v>4</v>
      </c>
      <c r="B7">
        <v>12</v>
      </c>
      <c r="C7">
        <v>5</v>
      </c>
      <c r="D7">
        <v>7</v>
      </c>
      <c r="E7">
        <v>5</v>
      </c>
      <c r="F7">
        <v>0</v>
      </c>
    </row>
    <row r="8" spans="1:6" x14ac:dyDescent="0.25">
      <c r="A8" t="s">
        <v>30</v>
      </c>
      <c r="B8">
        <v>12</v>
      </c>
      <c r="C8" s="22" t="s">
        <v>134</v>
      </c>
      <c r="D8">
        <v>12</v>
      </c>
      <c r="E8">
        <v>12</v>
      </c>
      <c r="F8">
        <v>0</v>
      </c>
    </row>
    <row r="9" spans="1:6" x14ac:dyDescent="0.25">
      <c r="A9" t="s">
        <v>32</v>
      </c>
      <c r="B9">
        <v>3.3</v>
      </c>
      <c r="C9">
        <v>3.3</v>
      </c>
      <c r="D9">
        <v>4.5</v>
      </c>
      <c r="E9">
        <v>3.3</v>
      </c>
      <c r="F9">
        <v>0</v>
      </c>
    </row>
    <row r="10" spans="1:6" x14ac:dyDescent="0.25">
      <c r="A10" t="s">
        <v>156</v>
      </c>
      <c r="B10">
        <v>5</v>
      </c>
      <c r="C10">
        <v>5</v>
      </c>
      <c r="D10">
        <v>5</v>
      </c>
      <c r="E10">
        <v>5</v>
      </c>
      <c r="F10">
        <v>0</v>
      </c>
    </row>
  </sheetData>
  <pageMargins left="0.7" right="0.7" top="0.75" bottom="0.75" header="0.3" footer="0.3"/>
  <pageSetup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C8AFA0-8489-4B36-9494-E5F50A15BF79}">
  <dimension ref="A1"/>
  <sheetViews>
    <sheetView workbookViewId="0"/>
  </sheetViews>
  <sheetFormatPr defaultRowHeight="15" x14ac:dyDescent="0.2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3CCE5A-C8B1-4FC0-987A-44B3BDE8779D}">
  <dimension ref="A1:R21"/>
  <sheetViews>
    <sheetView workbookViewId="0">
      <selection activeCell="N3" sqref="N3"/>
    </sheetView>
  </sheetViews>
  <sheetFormatPr defaultRowHeight="15" x14ac:dyDescent="0.25"/>
  <sheetData>
    <row r="1" spans="1:18" x14ac:dyDescent="0.25">
      <c r="A1" s="28" t="s">
        <v>58</v>
      </c>
      <c r="B1" s="28"/>
      <c r="C1" s="28"/>
      <c r="D1" s="28"/>
      <c r="E1" s="28"/>
      <c r="F1" s="28"/>
      <c r="G1" s="28"/>
      <c r="H1" s="28"/>
    </row>
    <row r="2" spans="1:18" x14ac:dyDescent="0.25">
      <c r="A2" s="23"/>
      <c r="B2" s="23"/>
      <c r="C2" s="23"/>
      <c r="D2" s="26" t="s">
        <v>147</v>
      </c>
      <c r="E2" s="26"/>
      <c r="F2" s="23"/>
      <c r="G2" s="23"/>
      <c r="H2" s="23"/>
      <c r="K2" s="23"/>
      <c r="L2" s="23"/>
      <c r="M2" s="23"/>
      <c r="N2" s="26" t="s">
        <v>148</v>
      </c>
      <c r="O2" s="26"/>
      <c r="P2" s="23"/>
      <c r="Q2" s="23"/>
      <c r="R2" s="23"/>
    </row>
    <row r="3" spans="1:18" x14ac:dyDescent="0.25">
      <c r="A3" s="10" t="s">
        <v>102</v>
      </c>
      <c r="B3" s="10" t="s">
        <v>96</v>
      </c>
      <c r="C3" s="10" t="s">
        <v>95</v>
      </c>
      <c r="D3" s="10" t="s">
        <v>85</v>
      </c>
      <c r="E3" s="10" t="s">
        <v>85</v>
      </c>
      <c r="F3" s="10" t="s">
        <v>95</v>
      </c>
      <c r="G3" s="10" t="s">
        <v>96</v>
      </c>
      <c r="H3" s="10" t="s">
        <v>102</v>
      </c>
      <c r="K3" s="10" t="s">
        <v>102</v>
      </c>
      <c r="L3" s="10" t="s">
        <v>96</v>
      </c>
      <c r="M3" s="10" t="s">
        <v>95</v>
      </c>
      <c r="N3" s="10" t="s">
        <v>85</v>
      </c>
      <c r="O3" s="10" t="s">
        <v>85</v>
      </c>
      <c r="P3" s="10" t="s">
        <v>95</v>
      </c>
      <c r="Q3" s="10" t="s">
        <v>96</v>
      </c>
      <c r="R3" s="10" t="s">
        <v>102</v>
      </c>
    </row>
    <row r="4" spans="1:18" x14ac:dyDescent="0.25">
      <c r="A4" s="9" t="s">
        <v>139</v>
      </c>
      <c r="B4" s="16"/>
      <c r="C4" s="9" t="s">
        <v>124</v>
      </c>
      <c r="D4" s="12">
        <v>1</v>
      </c>
      <c r="E4" s="12">
        <v>36</v>
      </c>
      <c r="F4" s="9" t="s">
        <v>130</v>
      </c>
      <c r="G4" s="9" t="s">
        <v>104</v>
      </c>
      <c r="H4" s="9" t="s">
        <v>136</v>
      </c>
      <c r="K4" s="9" t="s">
        <v>139</v>
      </c>
      <c r="L4" s="16"/>
      <c r="M4" s="9" t="s">
        <v>124</v>
      </c>
      <c r="N4" s="12">
        <v>1</v>
      </c>
      <c r="O4" s="12">
        <v>36</v>
      </c>
      <c r="P4" s="9" t="s">
        <v>130</v>
      </c>
      <c r="Q4" s="9" t="s">
        <v>104</v>
      </c>
      <c r="R4" s="9" t="s">
        <v>136</v>
      </c>
    </row>
    <row r="5" spans="1:18" x14ac:dyDescent="0.25">
      <c r="A5" s="9" t="s">
        <v>138</v>
      </c>
      <c r="B5" s="17"/>
      <c r="C5" s="11" t="s">
        <v>123</v>
      </c>
      <c r="D5" s="12">
        <v>3</v>
      </c>
      <c r="E5" s="12">
        <v>35</v>
      </c>
      <c r="F5" s="11" t="s">
        <v>131</v>
      </c>
      <c r="G5" s="9" t="s">
        <v>112</v>
      </c>
      <c r="H5" s="9" t="s">
        <v>106</v>
      </c>
      <c r="K5" s="9" t="s">
        <v>138</v>
      </c>
      <c r="L5" s="17"/>
      <c r="M5" s="11" t="s">
        <v>123</v>
      </c>
      <c r="N5" s="12">
        <v>3</v>
      </c>
      <c r="O5" s="12">
        <v>35</v>
      </c>
      <c r="P5" s="11" t="s">
        <v>131</v>
      </c>
      <c r="Q5" s="9" t="s">
        <v>112</v>
      </c>
      <c r="R5" s="9" t="s">
        <v>106</v>
      </c>
    </row>
    <row r="6" spans="1:18" x14ac:dyDescent="0.25">
      <c r="A6" s="9" t="s">
        <v>134</v>
      </c>
      <c r="B6" s="11" t="s">
        <v>134</v>
      </c>
      <c r="C6" s="11" t="s">
        <v>125</v>
      </c>
      <c r="D6" s="12">
        <v>5</v>
      </c>
      <c r="E6" s="12">
        <v>34</v>
      </c>
      <c r="F6" s="11" t="s">
        <v>140</v>
      </c>
      <c r="G6" s="19"/>
      <c r="H6" s="9" t="s">
        <v>144</v>
      </c>
      <c r="K6" s="9" t="s">
        <v>134</v>
      </c>
      <c r="L6" s="11" t="s">
        <v>134</v>
      </c>
      <c r="M6" s="11" t="s">
        <v>125</v>
      </c>
      <c r="N6" s="12">
        <v>5</v>
      </c>
      <c r="O6" s="12">
        <v>34</v>
      </c>
      <c r="P6" s="11" t="s">
        <v>140</v>
      </c>
      <c r="Q6" s="19"/>
      <c r="R6" s="9" t="s">
        <v>144</v>
      </c>
    </row>
    <row r="7" spans="1:18" x14ac:dyDescent="0.25">
      <c r="A7" s="11" t="s">
        <v>134</v>
      </c>
      <c r="B7" s="11" t="s">
        <v>134</v>
      </c>
      <c r="C7" s="11" t="s">
        <v>126</v>
      </c>
      <c r="D7" s="12">
        <v>4</v>
      </c>
      <c r="E7" s="12">
        <v>33</v>
      </c>
      <c r="F7" s="9" t="s">
        <v>141</v>
      </c>
      <c r="G7" s="20"/>
      <c r="H7" s="11" t="s">
        <v>144</v>
      </c>
      <c r="K7" s="11" t="s">
        <v>134</v>
      </c>
      <c r="L7" s="11" t="s">
        <v>134</v>
      </c>
      <c r="M7" s="11" t="s">
        <v>126</v>
      </c>
      <c r="N7" s="12">
        <v>4</v>
      </c>
      <c r="O7" s="12">
        <v>33</v>
      </c>
      <c r="P7" s="9" t="s">
        <v>141</v>
      </c>
      <c r="Q7" s="20"/>
      <c r="R7" s="11" t="s">
        <v>144</v>
      </c>
    </row>
    <row r="8" spans="1:18" x14ac:dyDescent="0.25">
      <c r="A8" s="11" t="s">
        <v>127</v>
      </c>
      <c r="B8" s="18"/>
      <c r="C8" s="11" t="s">
        <v>127</v>
      </c>
      <c r="D8" s="12">
        <v>5</v>
      </c>
      <c r="E8" s="12">
        <v>32</v>
      </c>
      <c r="F8" s="11" t="s">
        <v>142</v>
      </c>
      <c r="G8" s="20" t="s">
        <v>146</v>
      </c>
      <c r="H8" s="11" t="s">
        <v>145</v>
      </c>
      <c r="K8" s="11" t="s">
        <v>127</v>
      </c>
      <c r="L8" s="18"/>
      <c r="M8" s="11" t="s">
        <v>127</v>
      </c>
      <c r="N8" s="12">
        <v>5</v>
      </c>
      <c r="O8" s="12">
        <v>32</v>
      </c>
      <c r="P8" s="11" t="s">
        <v>142</v>
      </c>
      <c r="Q8" s="20" t="s">
        <v>146</v>
      </c>
      <c r="R8" s="11" t="s">
        <v>145</v>
      </c>
    </row>
    <row r="9" spans="1:18" x14ac:dyDescent="0.25">
      <c r="A9" s="9" t="s">
        <v>134</v>
      </c>
      <c r="B9" s="9" t="s">
        <v>134</v>
      </c>
      <c r="C9" s="9" t="s">
        <v>128</v>
      </c>
      <c r="D9" s="12">
        <v>6</v>
      </c>
      <c r="E9" s="12">
        <v>31</v>
      </c>
      <c r="F9" s="9" t="s">
        <v>143</v>
      </c>
      <c r="G9" s="19"/>
      <c r="H9" s="9" t="s">
        <v>145</v>
      </c>
      <c r="K9" s="9" t="s">
        <v>134</v>
      </c>
      <c r="L9" s="9" t="s">
        <v>134</v>
      </c>
      <c r="M9" s="9" t="s">
        <v>128</v>
      </c>
      <c r="N9" s="12">
        <v>6</v>
      </c>
      <c r="O9" s="12">
        <v>31</v>
      </c>
      <c r="P9" s="9" t="s">
        <v>143</v>
      </c>
      <c r="Q9" s="19"/>
      <c r="R9" s="9" t="s">
        <v>145</v>
      </c>
    </row>
    <row r="10" spans="1:18" x14ac:dyDescent="0.25">
      <c r="A10" s="9" t="s">
        <v>118</v>
      </c>
      <c r="B10" s="21"/>
      <c r="C10" s="9" t="s">
        <v>129</v>
      </c>
      <c r="D10" s="12">
        <v>7</v>
      </c>
      <c r="E10" s="12">
        <v>30</v>
      </c>
      <c r="F10" s="9" t="s">
        <v>132</v>
      </c>
      <c r="G10" s="9" t="s">
        <v>115</v>
      </c>
      <c r="H10" s="9" t="s">
        <v>137</v>
      </c>
      <c r="K10" s="9" t="s">
        <v>118</v>
      </c>
      <c r="L10" s="21"/>
      <c r="M10" s="9" t="s">
        <v>129</v>
      </c>
      <c r="N10" s="12">
        <v>7</v>
      </c>
      <c r="O10" s="12">
        <v>30</v>
      </c>
      <c r="P10" s="9" t="s">
        <v>132</v>
      </c>
      <c r="Q10" s="9" t="s">
        <v>115</v>
      </c>
      <c r="R10" s="9" t="s">
        <v>137</v>
      </c>
    </row>
    <row r="11" spans="1:18" x14ac:dyDescent="0.25">
      <c r="A11" s="9" t="s">
        <v>121</v>
      </c>
      <c r="B11" s="14"/>
      <c r="C11" s="9" t="s">
        <v>121</v>
      </c>
      <c r="D11" s="12">
        <v>8</v>
      </c>
      <c r="E11" s="12">
        <v>29</v>
      </c>
      <c r="F11" s="9" t="s">
        <v>133</v>
      </c>
      <c r="G11" s="9" t="s">
        <v>112</v>
      </c>
      <c r="H11" s="9" t="s">
        <v>106</v>
      </c>
      <c r="K11" s="9" t="s">
        <v>121</v>
      </c>
      <c r="L11" s="14"/>
      <c r="M11" s="9" t="s">
        <v>121</v>
      </c>
      <c r="N11" s="12">
        <v>8</v>
      </c>
      <c r="O11" s="12">
        <v>29</v>
      </c>
      <c r="P11" s="9" t="s">
        <v>133</v>
      </c>
      <c r="Q11" s="9" t="s">
        <v>112</v>
      </c>
      <c r="R11" s="9" t="s">
        <v>106</v>
      </c>
    </row>
    <row r="12" spans="1:18" x14ac:dyDescent="0.25">
      <c r="D12" s="12">
        <v>9</v>
      </c>
      <c r="E12" s="12">
        <v>28</v>
      </c>
      <c r="N12" s="12">
        <v>9</v>
      </c>
      <c r="O12" s="12">
        <v>28</v>
      </c>
    </row>
    <row r="13" spans="1:18" x14ac:dyDescent="0.25">
      <c r="D13" s="12">
        <v>10</v>
      </c>
      <c r="E13" s="12">
        <v>27</v>
      </c>
      <c r="N13" s="12">
        <v>10</v>
      </c>
      <c r="O13" s="12">
        <v>27</v>
      </c>
    </row>
    <row r="14" spans="1:18" x14ac:dyDescent="0.25">
      <c r="D14" s="12">
        <v>11</v>
      </c>
      <c r="E14" s="12">
        <v>26</v>
      </c>
      <c r="N14" s="12">
        <v>11</v>
      </c>
      <c r="O14" s="12">
        <v>26</v>
      </c>
    </row>
    <row r="15" spans="1:18" x14ac:dyDescent="0.25">
      <c r="D15" s="12">
        <v>12</v>
      </c>
      <c r="E15" s="7">
        <v>25</v>
      </c>
      <c r="N15" s="12">
        <v>12</v>
      </c>
      <c r="O15" s="7">
        <v>25</v>
      </c>
    </row>
    <row r="16" spans="1:18" x14ac:dyDescent="0.25">
      <c r="D16" s="12">
        <v>13</v>
      </c>
      <c r="E16" s="7">
        <v>24</v>
      </c>
      <c r="N16" s="12">
        <v>13</v>
      </c>
      <c r="O16" s="7">
        <v>24</v>
      </c>
    </row>
    <row r="17" spans="4:15" x14ac:dyDescent="0.25">
      <c r="D17" s="12">
        <v>14</v>
      </c>
      <c r="E17" s="7">
        <v>23</v>
      </c>
      <c r="N17" s="12">
        <v>14</v>
      </c>
      <c r="O17" s="7">
        <v>23</v>
      </c>
    </row>
    <row r="18" spans="4:15" x14ac:dyDescent="0.25">
      <c r="D18" s="12">
        <v>15</v>
      </c>
      <c r="E18" s="7">
        <v>22</v>
      </c>
      <c r="N18" s="12">
        <v>15</v>
      </c>
      <c r="O18" s="7">
        <v>22</v>
      </c>
    </row>
    <row r="19" spans="4:15" x14ac:dyDescent="0.25">
      <c r="D19" s="12">
        <v>16</v>
      </c>
      <c r="E19" s="7">
        <v>21</v>
      </c>
      <c r="N19" s="12">
        <v>16</v>
      </c>
      <c r="O19" s="7">
        <v>21</v>
      </c>
    </row>
    <row r="20" spans="4:15" x14ac:dyDescent="0.25">
      <c r="D20" s="12">
        <v>17</v>
      </c>
      <c r="E20" s="7">
        <v>20</v>
      </c>
      <c r="N20" s="12">
        <v>17</v>
      </c>
      <c r="O20" s="7">
        <v>20</v>
      </c>
    </row>
    <row r="21" spans="4:15" x14ac:dyDescent="0.25">
      <c r="D21" s="12">
        <v>18</v>
      </c>
      <c r="E21" s="7">
        <v>19</v>
      </c>
      <c r="N21" s="12">
        <v>18</v>
      </c>
      <c r="O21" s="7">
        <v>19</v>
      </c>
    </row>
  </sheetData>
  <mergeCells count="7">
    <mergeCell ref="N2:O2"/>
    <mergeCell ref="P2:R2"/>
    <mergeCell ref="A1:H1"/>
    <mergeCell ref="A2:C2"/>
    <mergeCell ref="D2:E2"/>
    <mergeCell ref="F2:H2"/>
    <mergeCell ref="K2:M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B7992-C396-4C4D-AF9E-415D6DF99652}">
  <dimension ref="A1:H10"/>
  <sheetViews>
    <sheetView workbookViewId="0">
      <selection sqref="A1:H10"/>
    </sheetView>
  </sheetViews>
  <sheetFormatPr defaultRowHeight="15" x14ac:dyDescent="0.25"/>
  <cols>
    <col min="1" max="1" width="12.5703125" bestFit="1" customWidth="1"/>
    <col min="2" max="2" width="10.28515625" bestFit="1" customWidth="1"/>
    <col min="3" max="3" width="10.42578125" bestFit="1" customWidth="1"/>
    <col min="4" max="5" width="3.42578125" bestFit="1" customWidth="1"/>
    <col min="6" max="6" width="9.85546875" bestFit="1" customWidth="1"/>
    <col min="7" max="7" width="10.28515625" bestFit="1" customWidth="1"/>
    <col min="8" max="8" width="12.140625" bestFit="1" customWidth="1"/>
  </cols>
  <sheetData>
    <row r="1" spans="1:8" x14ac:dyDescent="0.25">
      <c r="A1" s="28" t="s">
        <v>4</v>
      </c>
      <c r="B1" s="28"/>
      <c r="C1" s="28"/>
      <c r="D1" s="28"/>
      <c r="E1" s="28"/>
      <c r="F1" s="28"/>
      <c r="G1" s="28"/>
      <c r="H1" s="28"/>
    </row>
    <row r="2" spans="1:8" x14ac:dyDescent="0.25">
      <c r="A2" s="10" t="s">
        <v>102</v>
      </c>
      <c r="B2" s="10" t="s">
        <v>96</v>
      </c>
      <c r="C2" s="10" t="s">
        <v>95</v>
      </c>
      <c r="D2" s="10" t="s">
        <v>85</v>
      </c>
      <c r="E2" s="10" t="s">
        <v>85</v>
      </c>
      <c r="F2" s="10" t="s">
        <v>95</v>
      </c>
      <c r="G2" s="10" t="s">
        <v>96</v>
      </c>
      <c r="H2" s="10" t="s">
        <v>102</v>
      </c>
    </row>
    <row r="3" spans="1:8" x14ac:dyDescent="0.25">
      <c r="A3" s="9" t="s">
        <v>118</v>
      </c>
      <c r="B3" s="13"/>
      <c r="C3" s="9" t="s">
        <v>108</v>
      </c>
      <c r="D3" s="12">
        <v>1</v>
      </c>
      <c r="E3" s="12">
        <v>16</v>
      </c>
      <c r="F3" s="9" t="s">
        <v>132</v>
      </c>
      <c r="G3" s="9" t="s">
        <v>115</v>
      </c>
      <c r="H3" s="9" t="s">
        <v>137</v>
      </c>
    </row>
    <row r="4" spans="1:8" x14ac:dyDescent="0.25">
      <c r="A4" s="9" t="s">
        <v>121</v>
      </c>
      <c r="B4" s="14"/>
      <c r="C4" s="11" t="s">
        <v>110</v>
      </c>
      <c r="D4" s="12">
        <v>2</v>
      </c>
      <c r="E4" s="12">
        <v>15</v>
      </c>
      <c r="F4" s="11" t="s">
        <v>117</v>
      </c>
      <c r="G4" s="15"/>
      <c r="H4" s="9" t="s">
        <v>122</v>
      </c>
    </row>
    <row r="5" spans="1:8" x14ac:dyDescent="0.25">
      <c r="A5" s="9" t="s">
        <v>119</v>
      </c>
      <c r="B5" s="9" t="s">
        <v>119</v>
      </c>
      <c r="C5" s="11" t="s">
        <v>111</v>
      </c>
      <c r="D5" s="12">
        <v>3</v>
      </c>
      <c r="E5" s="12">
        <v>14</v>
      </c>
      <c r="F5" s="11" t="s">
        <v>116</v>
      </c>
      <c r="G5" s="5" t="s">
        <v>120</v>
      </c>
      <c r="H5" s="9" t="s">
        <v>120</v>
      </c>
    </row>
    <row r="6" spans="1:8" x14ac:dyDescent="0.25">
      <c r="A6" s="29" t="s">
        <v>106</v>
      </c>
      <c r="B6" s="29" t="s">
        <v>112</v>
      </c>
      <c r="C6" s="29" t="s">
        <v>86</v>
      </c>
      <c r="D6" s="12">
        <v>4</v>
      </c>
      <c r="E6" s="12">
        <v>13</v>
      </c>
      <c r="F6" s="28" t="s">
        <v>86</v>
      </c>
      <c r="G6" s="29" t="s">
        <v>112</v>
      </c>
      <c r="H6" s="29" t="s">
        <v>106</v>
      </c>
    </row>
    <row r="7" spans="1:8" x14ac:dyDescent="0.25">
      <c r="A7" s="29"/>
      <c r="B7" s="29"/>
      <c r="C7" s="29"/>
      <c r="D7" s="12">
        <v>5</v>
      </c>
      <c r="E7" s="12">
        <v>12</v>
      </c>
      <c r="F7" s="28"/>
      <c r="G7" s="29"/>
      <c r="H7" s="29"/>
    </row>
    <row r="8" spans="1:8" x14ac:dyDescent="0.25">
      <c r="A8" s="9" t="s">
        <v>119</v>
      </c>
      <c r="B8" s="9" t="s">
        <v>119</v>
      </c>
      <c r="C8" s="11" t="s">
        <v>113</v>
      </c>
      <c r="D8" s="12">
        <v>6</v>
      </c>
      <c r="E8" s="12">
        <v>11</v>
      </c>
      <c r="F8" s="11" t="s">
        <v>116</v>
      </c>
      <c r="G8" s="5" t="s">
        <v>120</v>
      </c>
      <c r="H8" s="9" t="s">
        <v>120</v>
      </c>
    </row>
    <row r="9" spans="1:8" x14ac:dyDescent="0.25">
      <c r="A9" s="9" t="s">
        <v>121</v>
      </c>
      <c r="B9" s="14"/>
      <c r="C9" s="9" t="s">
        <v>114</v>
      </c>
      <c r="D9" s="12">
        <v>7</v>
      </c>
      <c r="E9" s="12">
        <v>10</v>
      </c>
      <c r="F9" s="9" t="s">
        <v>117</v>
      </c>
      <c r="G9" s="15"/>
      <c r="H9" s="9" t="s">
        <v>122</v>
      </c>
    </row>
    <row r="10" spans="1:8" x14ac:dyDescent="0.25">
      <c r="A10" s="9" t="s">
        <v>136</v>
      </c>
      <c r="B10" s="9" t="s">
        <v>104</v>
      </c>
      <c r="C10" s="9" t="s">
        <v>130</v>
      </c>
      <c r="D10" s="12">
        <v>8</v>
      </c>
      <c r="E10" s="12">
        <v>9</v>
      </c>
      <c r="F10" s="9" t="s">
        <v>109</v>
      </c>
      <c r="G10" s="13"/>
      <c r="H10" s="9" t="s">
        <v>118</v>
      </c>
    </row>
  </sheetData>
  <mergeCells count="7">
    <mergeCell ref="H6:H7"/>
    <mergeCell ref="A1:H1"/>
    <mergeCell ref="F6:F7"/>
    <mergeCell ref="C6:C7"/>
    <mergeCell ref="B6:B7"/>
    <mergeCell ref="A6:A7"/>
    <mergeCell ref="G6:G7"/>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C99365-AE94-4DBF-BA99-AE4F033C811D}">
  <dimension ref="A1:H10"/>
  <sheetViews>
    <sheetView workbookViewId="0">
      <selection sqref="A1:H10"/>
    </sheetView>
  </sheetViews>
  <sheetFormatPr defaultRowHeight="15" x14ac:dyDescent="0.25"/>
  <cols>
    <col min="6" max="6" width="10.42578125" bestFit="1" customWidth="1"/>
    <col min="8" max="8" width="12.5703125" bestFit="1" customWidth="1"/>
  </cols>
  <sheetData>
    <row r="1" spans="1:8" x14ac:dyDescent="0.25">
      <c r="A1" s="28" t="s">
        <v>3</v>
      </c>
      <c r="B1" s="28"/>
      <c r="C1" s="28"/>
      <c r="D1" s="28"/>
      <c r="E1" s="28"/>
      <c r="F1" s="28"/>
      <c r="G1" s="28"/>
      <c r="H1" s="28"/>
    </row>
    <row r="2" spans="1:8" x14ac:dyDescent="0.25">
      <c r="A2" s="10" t="s">
        <v>102</v>
      </c>
      <c r="B2" s="10" t="s">
        <v>96</v>
      </c>
      <c r="C2" s="10" t="s">
        <v>95</v>
      </c>
      <c r="D2" s="10" t="s">
        <v>85</v>
      </c>
      <c r="E2" s="10" t="s">
        <v>85</v>
      </c>
      <c r="F2" s="10" t="s">
        <v>95</v>
      </c>
      <c r="G2" s="10" t="s">
        <v>96</v>
      </c>
      <c r="H2" s="10" t="s">
        <v>102</v>
      </c>
    </row>
    <row r="3" spans="1:8" x14ac:dyDescent="0.25">
      <c r="A3" s="9" t="s">
        <v>139</v>
      </c>
      <c r="B3" s="16"/>
      <c r="C3" s="9" t="s">
        <v>124</v>
      </c>
      <c r="D3" s="12">
        <v>1</v>
      </c>
      <c r="E3" s="12">
        <v>16</v>
      </c>
      <c r="F3" s="9" t="s">
        <v>130</v>
      </c>
      <c r="G3" s="9" t="s">
        <v>104</v>
      </c>
      <c r="H3" s="9" t="s">
        <v>136</v>
      </c>
    </row>
    <row r="4" spans="1:8" x14ac:dyDescent="0.25">
      <c r="A4" s="9" t="s">
        <v>138</v>
      </c>
      <c r="B4" s="17"/>
      <c r="C4" s="11" t="s">
        <v>123</v>
      </c>
      <c r="D4" s="12">
        <v>2</v>
      </c>
      <c r="E4" s="12">
        <v>15</v>
      </c>
      <c r="F4" s="11" t="s">
        <v>131</v>
      </c>
      <c r="G4" s="9" t="s">
        <v>112</v>
      </c>
      <c r="H4" s="9" t="s">
        <v>106</v>
      </c>
    </row>
    <row r="5" spans="1:8" x14ac:dyDescent="0.25">
      <c r="A5" s="9" t="s">
        <v>134</v>
      </c>
      <c r="B5" s="11" t="s">
        <v>134</v>
      </c>
      <c r="C5" s="11" t="s">
        <v>125</v>
      </c>
      <c r="D5" s="12">
        <v>3</v>
      </c>
      <c r="E5" s="12">
        <v>14</v>
      </c>
      <c r="F5" s="11" t="s">
        <v>140</v>
      </c>
      <c r="G5" s="19"/>
      <c r="H5" s="9" t="s">
        <v>144</v>
      </c>
    </row>
    <row r="6" spans="1:8" x14ac:dyDescent="0.25">
      <c r="A6" s="11" t="s">
        <v>134</v>
      </c>
      <c r="B6" s="11" t="s">
        <v>134</v>
      </c>
      <c r="C6" s="11" t="s">
        <v>126</v>
      </c>
      <c r="D6" s="12">
        <v>4</v>
      </c>
      <c r="E6" s="12">
        <v>13</v>
      </c>
      <c r="F6" s="9" t="s">
        <v>141</v>
      </c>
      <c r="G6" s="20"/>
      <c r="H6" s="11" t="s">
        <v>144</v>
      </c>
    </row>
    <row r="7" spans="1:8" x14ac:dyDescent="0.25">
      <c r="A7" s="11" t="s">
        <v>127</v>
      </c>
      <c r="B7" s="18"/>
      <c r="C7" s="11" t="s">
        <v>127</v>
      </c>
      <c r="D7" s="12">
        <v>5</v>
      </c>
      <c r="E7" s="12">
        <v>12</v>
      </c>
      <c r="F7" s="11" t="s">
        <v>142</v>
      </c>
      <c r="G7" s="20" t="s">
        <v>146</v>
      </c>
      <c r="H7" s="11" t="s">
        <v>145</v>
      </c>
    </row>
    <row r="8" spans="1:8" x14ac:dyDescent="0.25">
      <c r="A8" s="9" t="s">
        <v>134</v>
      </c>
      <c r="B8" s="9" t="s">
        <v>134</v>
      </c>
      <c r="C8" s="9" t="s">
        <v>128</v>
      </c>
      <c r="D8" s="12">
        <v>6</v>
      </c>
      <c r="E8" s="12">
        <v>11</v>
      </c>
      <c r="F8" s="9" t="s">
        <v>143</v>
      </c>
      <c r="G8" s="19"/>
      <c r="H8" s="9" t="s">
        <v>145</v>
      </c>
    </row>
    <row r="9" spans="1:8" x14ac:dyDescent="0.25">
      <c r="A9" s="9" t="s">
        <v>118</v>
      </c>
      <c r="B9" s="21"/>
      <c r="C9" s="9" t="s">
        <v>129</v>
      </c>
      <c r="D9" s="12">
        <v>7</v>
      </c>
      <c r="E9" s="12">
        <v>10</v>
      </c>
      <c r="F9" s="9" t="s">
        <v>132</v>
      </c>
      <c r="G9" s="9" t="s">
        <v>115</v>
      </c>
      <c r="H9" s="9" t="s">
        <v>137</v>
      </c>
    </row>
    <row r="10" spans="1:8" x14ac:dyDescent="0.25">
      <c r="A10" s="9" t="s">
        <v>121</v>
      </c>
      <c r="B10" s="14"/>
      <c r="C10" s="9" t="s">
        <v>121</v>
      </c>
      <c r="D10" s="12">
        <v>8</v>
      </c>
      <c r="E10" s="12">
        <v>9</v>
      </c>
      <c r="F10" s="9" t="s">
        <v>133</v>
      </c>
      <c r="G10" s="9" t="s">
        <v>112</v>
      </c>
      <c r="H10" s="9" t="s">
        <v>106</v>
      </c>
    </row>
  </sheetData>
  <mergeCells count="1">
    <mergeCell ref="A1:H1"/>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BA7CFB-DC85-4F03-86C5-E3FB28A80C68}">
  <dimension ref="A1:H9"/>
  <sheetViews>
    <sheetView workbookViewId="0">
      <selection activeCell="G15" sqref="G15"/>
    </sheetView>
  </sheetViews>
  <sheetFormatPr defaultRowHeight="15" x14ac:dyDescent="0.25"/>
  <cols>
    <col min="2" max="2" width="10.28515625" bestFit="1" customWidth="1"/>
    <col min="3" max="3" width="7.85546875" bestFit="1" customWidth="1"/>
    <col min="4" max="5" width="3.42578125" bestFit="1" customWidth="1"/>
    <col min="6" max="6" width="7.85546875" bestFit="1" customWidth="1"/>
    <col min="7" max="7" width="10.28515625" bestFit="1" customWidth="1"/>
  </cols>
  <sheetData>
    <row r="1" spans="1:8" x14ac:dyDescent="0.25">
      <c r="A1" s="26" t="s">
        <v>2</v>
      </c>
      <c r="B1" s="26"/>
      <c r="C1" s="26"/>
      <c r="D1" s="26"/>
      <c r="E1" s="26"/>
      <c r="F1" s="26"/>
      <c r="G1" s="26"/>
      <c r="H1" s="26"/>
    </row>
    <row r="2" spans="1:8" x14ac:dyDescent="0.25">
      <c r="A2" s="7" t="s">
        <v>102</v>
      </c>
      <c r="B2" s="7" t="s">
        <v>96</v>
      </c>
      <c r="C2" s="7" t="s">
        <v>95</v>
      </c>
      <c r="D2" s="7" t="s">
        <v>85</v>
      </c>
      <c r="E2" s="7" t="s">
        <v>85</v>
      </c>
      <c r="F2" s="7" t="s">
        <v>95</v>
      </c>
      <c r="G2" s="7" t="s">
        <v>96</v>
      </c>
      <c r="H2" s="7" t="s">
        <v>102</v>
      </c>
    </row>
    <row r="3" spans="1:8" x14ac:dyDescent="0.25">
      <c r="A3" s="26"/>
      <c r="B3" s="5"/>
      <c r="C3" s="5" t="s">
        <v>88</v>
      </c>
      <c r="D3" s="7">
        <v>1</v>
      </c>
      <c r="E3" s="7">
        <v>14</v>
      </c>
      <c r="F3" s="5" t="s">
        <v>101</v>
      </c>
      <c r="G3" s="5"/>
      <c r="H3" s="26"/>
    </row>
    <row r="4" spans="1:8" x14ac:dyDescent="0.25">
      <c r="A4" s="26"/>
      <c r="B4" s="5"/>
      <c r="C4" s="8" t="s">
        <v>94</v>
      </c>
      <c r="D4" s="7">
        <v>2</v>
      </c>
      <c r="E4" s="7">
        <v>13</v>
      </c>
      <c r="F4" s="8" t="s">
        <v>100</v>
      </c>
      <c r="G4" s="5"/>
      <c r="H4" s="26"/>
    </row>
    <row r="5" spans="1:8" x14ac:dyDescent="0.25">
      <c r="A5" s="26"/>
      <c r="B5" s="5"/>
      <c r="C5" s="8" t="s">
        <v>93</v>
      </c>
      <c r="D5" s="7">
        <v>3</v>
      </c>
      <c r="E5" s="7">
        <v>12</v>
      </c>
      <c r="F5" s="8" t="s">
        <v>99</v>
      </c>
      <c r="G5" s="5"/>
      <c r="H5" s="26"/>
    </row>
    <row r="6" spans="1:8" x14ac:dyDescent="0.25">
      <c r="A6" s="8" t="s">
        <v>106</v>
      </c>
      <c r="B6" s="8" t="s">
        <v>107</v>
      </c>
      <c r="C6" s="5" t="s">
        <v>86</v>
      </c>
      <c r="D6" s="7">
        <v>4</v>
      </c>
      <c r="E6" s="7">
        <v>11</v>
      </c>
      <c r="F6" s="5" t="s">
        <v>87</v>
      </c>
      <c r="G6" s="8" t="s">
        <v>105</v>
      </c>
      <c r="H6" s="8" t="s">
        <v>103</v>
      </c>
    </row>
    <row r="7" spans="1:8" x14ac:dyDescent="0.25">
      <c r="A7" s="26"/>
      <c r="B7" s="5"/>
      <c r="C7" s="8" t="s">
        <v>91</v>
      </c>
      <c r="D7" s="7">
        <v>5</v>
      </c>
      <c r="E7" s="7">
        <v>10</v>
      </c>
      <c r="F7" s="8" t="s">
        <v>98</v>
      </c>
      <c r="G7" s="5"/>
      <c r="H7" s="26"/>
    </row>
    <row r="8" spans="1:8" x14ac:dyDescent="0.25">
      <c r="A8" s="26"/>
      <c r="B8" s="5"/>
      <c r="C8" s="8" t="s">
        <v>92</v>
      </c>
      <c r="D8" s="7">
        <v>6</v>
      </c>
      <c r="E8" s="7">
        <v>9</v>
      </c>
      <c r="F8" s="8" t="s">
        <v>97</v>
      </c>
      <c r="G8" s="5"/>
      <c r="H8" s="26"/>
    </row>
    <row r="9" spans="1:8" x14ac:dyDescent="0.25">
      <c r="A9" s="26"/>
      <c r="B9" s="5"/>
      <c r="C9" s="5" t="s">
        <v>89</v>
      </c>
      <c r="D9" s="7">
        <v>7</v>
      </c>
      <c r="E9" s="7">
        <v>8</v>
      </c>
      <c r="F9" s="5" t="s">
        <v>90</v>
      </c>
      <c r="G9" s="5"/>
      <c r="H9" s="26"/>
    </row>
  </sheetData>
  <mergeCells count="5">
    <mergeCell ref="A7:A9"/>
    <mergeCell ref="A3:A5"/>
    <mergeCell ref="A1:H1"/>
    <mergeCell ref="H3:H5"/>
    <mergeCell ref="H7:H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BOM</vt:lpstr>
      <vt:lpstr>Power Budget</vt:lpstr>
      <vt:lpstr>Voltage and Current Limitations</vt:lpstr>
      <vt:lpstr>RPI Pinout</vt:lpstr>
      <vt:lpstr>STM Pinout</vt:lpstr>
      <vt:lpstr>L293D Pinout</vt:lpstr>
      <vt:lpstr>A4988 Pinout</vt:lpstr>
      <vt:lpstr>TL084 Pinout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Fergus Page</dc:creator>
  <cp:lastModifiedBy>Fergus P.</cp:lastModifiedBy>
  <dcterms:created xsi:type="dcterms:W3CDTF">2025-10-28T18:57:41Z</dcterms:created>
  <dcterms:modified xsi:type="dcterms:W3CDTF">2025-11-07T22:53:21Z</dcterms:modified>
</cp:coreProperties>
</file>